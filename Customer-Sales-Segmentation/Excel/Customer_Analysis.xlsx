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ALISIS DE DATOS CURSO\"/>
    </mc:Choice>
  </mc:AlternateContent>
  <bookViews>
    <workbookView xWindow="0" yWindow="0" windowWidth="4740" windowHeight="4920"/>
  </bookViews>
  <sheets>
    <sheet name="Customer Analy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J14" i="1"/>
  <c r="J12" i="1"/>
  <c r="J9" i="1"/>
  <c r="J8" i="1"/>
  <c r="J7" i="1"/>
  <c r="J6" i="1"/>
  <c r="J4" i="1"/>
  <c r="J3" i="1"/>
  <c r="J2" i="1"/>
  <c r="J1" i="1"/>
</calcChain>
</file>

<file path=xl/sharedStrings.xml><?xml version="1.0" encoding="utf-8"?>
<sst xmlns="http://schemas.openxmlformats.org/spreadsheetml/2006/main" count="31" uniqueCount="27">
  <si>
    <t>CustomerID</t>
  </si>
  <si>
    <t>FirstName</t>
  </si>
  <si>
    <t>LastName</t>
  </si>
  <si>
    <t>TotalOrders</t>
  </si>
  <si>
    <t>TotalSales</t>
  </si>
  <si>
    <t>AverageOrderValue</t>
  </si>
  <si>
    <t>CustomerSegment</t>
  </si>
  <si>
    <t>Mary</t>
  </si>
  <si>
    <t>Jossef</t>
  </si>
  <si>
    <t>Goldberg</t>
  </si>
  <si>
    <t>Mark</t>
  </si>
  <si>
    <t>Schwarz</t>
  </si>
  <si>
    <t>Kevin</t>
  </si>
  <si>
    <t>Brown</t>
  </si>
  <si>
    <t>High-Value Customer</t>
  </si>
  <si>
    <t>Growth Opportunity</t>
  </si>
  <si>
    <t>Lower Priority</t>
  </si>
  <si>
    <t>Total Customers</t>
  </si>
  <si>
    <t>Total Orders</t>
  </si>
  <si>
    <t>Total Sales</t>
  </si>
  <si>
    <t>Average Order Value</t>
  </si>
  <si>
    <t>Top Customer by Sales</t>
  </si>
  <si>
    <t>Top Customer Sales</t>
  </si>
  <si>
    <t>Customer with Lowest Average Order Value</t>
  </si>
  <si>
    <t>Lowest Average Order Value</t>
  </si>
  <si>
    <t>Customer Segment</t>
  </si>
  <si>
    <t>Customer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</si>
</sst>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8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/>
    </xf>
    <xf numFmtId="0" fontId="1" fillId="2" borderId="2" xfId="0" applyFont="1" applyFill="1" applyBorder="1"/>
    <xf numFmtId="0" fontId="2" fillId="3" borderId="2" xfId="0" applyFont="1" applyFill="1" applyBorder="1" applyAlignment="1">
      <alignment horizontal="center"/>
    </xf>
    <xf numFmtId="170" fontId="2" fillId="3" borderId="2" xfId="0" applyNumberFormat="1" applyFont="1" applyFill="1" applyBorder="1" applyAlignment="1">
      <alignment horizontal="center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right"/>
    </xf>
    <xf numFmtId="0" fontId="0" fillId="0" borderId="3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strike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17324D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17324D"/>
      <color rgb="FFFFFFFF"/>
      <color rgb="FFCBD5E1"/>
      <color rgb="FFE2E8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Sales by Customer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Analysis'!$E$1</c:f>
              <c:strCache>
                <c:ptCount val="1"/>
                <c:pt idx="0">
                  <c:v>TotalSales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Analysis'!$B$2:$B$6</c:f>
              <c:strCache>
                <c:ptCount val="5"/>
                <c:pt idx="1">
                  <c:v>Mary</c:v>
                </c:pt>
                <c:pt idx="2">
                  <c:v>Jossef</c:v>
                </c:pt>
                <c:pt idx="3">
                  <c:v>Mark</c:v>
                </c:pt>
                <c:pt idx="4">
                  <c:v>Kevin</c:v>
                </c:pt>
              </c:strCache>
            </c:strRef>
          </c:cat>
          <c:val>
            <c:numRef>
              <c:f>'Customer Analysis'!$E$2:$E$6</c:f>
              <c:numCache>
                <c:formatCode>General</c:formatCode>
                <c:ptCount val="5"/>
                <c:pt idx="1">
                  <c:v>125</c:v>
                </c:pt>
                <c:pt idx="2">
                  <c:v>110</c:v>
                </c:pt>
                <c:pt idx="3">
                  <c:v>90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A-4BAE-B459-6432547B5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454728"/>
        <c:axId val="343456368"/>
      </c:barChart>
      <c:catAx>
        <c:axId val="343454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Customer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56368"/>
        <c:crosses val="autoZero"/>
        <c:auto val="1"/>
        <c:lblAlgn val="ctr"/>
        <c:lblOffset val="100"/>
        <c:noMultiLvlLbl val="0"/>
      </c:catAx>
      <c:valAx>
        <c:axId val="3434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Sales</a:t>
                </a:r>
                <a:r>
                  <a:rPr lang="en-US"/>
                  <a:t> ($)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54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Segmentation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Analysis'!$J$11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Analysis'!$I$12:$I$14</c:f>
              <c:strCache>
                <c:ptCount val="3"/>
                <c:pt idx="0">
                  <c:v>High-Value Customer</c:v>
                </c:pt>
                <c:pt idx="1">
                  <c:v>Growth Opportunity</c:v>
                </c:pt>
                <c:pt idx="2">
                  <c:v>Lower Priority</c:v>
                </c:pt>
              </c:strCache>
            </c:strRef>
          </c:cat>
          <c:val>
            <c:numRef>
              <c:f>'Customer Analysis'!$J$12:$J$14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A-46CB-A1D5-02858208D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366712</xdr:colOff>
      <xdr:row>7</xdr:row>
      <xdr:rowOff>47625</xdr:rowOff>
    </xdr:from>
    <xdr:to>
      <xdr:col>6</xdr:col>
      <xdr:colOff>233362</xdr:colOff>
      <xdr:row>21</xdr:row>
      <xdr:rowOff>123825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395287</xdr:colOff>
      <xdr:row>22</xdr:row>
      <xdr:rowOff>185737</xdr:rowOff>
    </xdr:from>
    <xdr:to>
      <xdr:col>6</xdr:col>
      <xdr:colOff>261937</xdr:colOff>
      <xdr:row>37</xdr:row>
      <xdr:rowOff>71437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1" displayName="Tabla1" ref="A1:G2" insertRow="1" insertRowShift="1" totalsRowShown="0" headerRowDxfId="0" headerRowBorderDxfId="1">
  <autoFilter ref="A1:G2"/>
  <tableColumns count="7">
    <tableColumn id="1" name="CustomerID"/>
    <tableColumn id="2" name="FirstName"/>
    <tableColumn id="3" name="LastName"/>
    <tableColumn id="4" name="TotalOrders"/>
    <tableColumn id="5" name="TotalSales"/>
    <tableColumn id="6" name="AverageOrderValue"/>
    <tableColumn id="7" name="Customer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I16" sqref="I16"/>
    </sheetView>
  </sheetViews>
  <sheetFormatPr baseColWidth="10" defaultRowHeight="15" x14ac:dyDescent="0.25"/>
  <cols>
    <col min="1" max="1" width="13.5703125" customWidth="1"/>
    <col min="2" max="2" width="12.28515625" customWidth="1"/>
    <col min="3" max="3" width="11.85546875" customWidth="1"/>
    <col min="4" max="4" width="13.5703125" customWidth="1"/>
    <col min="5" max="5" width="12.140625" customWidth="1"/>
    <col min="6" max="6" width="20.7109375" customWidth="1"/>
    <col min="7" max="7" width="26.42578125" bestFit="1" customWidth="1"/>
    <col min="9" max="9" width="40.28515625" bestFit="1" customWidth="1"/>
    <col min="10" max="10" width="1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3" t="s">
        <v>17</v>
      </c>
      <c r="J1" s="4">
        <f>COUNTA(A2:A6)</f>
        <v>4</v>
      </c>
    </row>
    <row r="2" spans="1:10" x14ac:dyDescent="0.25">
      <c r="I2" s="3" t="s">
        <v>18</v>
      </c>
      <c r="J2" s="4">
        <f>SUM(D2:D6)</f>
        <v>10</v>
      </c>
    </row>
    <row r="3" spans="1:10" x14ac:dyDescent="0.25">
      <c r="A3">
        <v>3</v>
      </c>
      <c r="B3" t="s">
        <v>7</v>
      </c>
      <c r="D3">
        <v>3</v>
      </c>
      <c r="E3">
        <v>125</v>
      </c>
      <c r="F3">
        <v>41</v>
      </c>
      <c r="G3" t="s">
        <v>14</v>
      </c>
      <c r="I3" s="3" t="s">
        <v>19</v>
      </c>
      <c r="J3" s="5">
        <f>SUM(E2:E6)</f>
        <v>380</v>
      </c>
    </row>
    <row r="4" spans="1:10" x14ac:dyDescent="0.25">
      <c r="A4">
        <v>1</v>
      </c>
      <c r="B4" t="s">
        <v>8</v>
      </c>
      <c r="C4" t="s">
        <v>9</v>
      </c>
      <c r="D4">
        <v>3</v>
      </c>
      <c r="E4">
        <v>110</v>
      </c>
      <c r="F4">
        <v>36</v>
      </c>
      <c r="G4" t="s">
        <v>14</v>
      </c>
      <c r="I4" s="3" t="s">
        <v>20</v>
      </c>
      <c r="J4" s="5">
        <f>SUM(E2:E6)/SUM(D2:D6)</f>
        <v>38</v>
      </c>
    </row>
    <row r="5" spans="1:10" x14ac:dyDescent="0.25">
      <c r="A5">
        <v>4</v>
      </c>
      <c r="B5" t="s">
        <v>10</v>
      </c>
      <c r="C5" t="s">
        <v>11</v>
      </c>
      <c r="D5">
        <v>1</v>
      </c>
      <c r="E5">
        <v>90</v>
      </c>
      <c r="F5">
        <v>90</v>
      </c>
      <c r="G5" t="s">
        <v>16</v>
      </c>
    </row>
    <row r="6" spans="1:10" x14ac:dyDescent="0.25">
      <c r="A6">
        <v>2</v>
      </c>
      <c r="B6" t="s">
        <v>12</v>
      </c>
      <c r="C6" t="s">
        <v>13</v>
      </c>
      <c r="D6">
        <v>3</v>
      </c>
      <c r="E6">
        <v>55</v>
      </c>
      <c r="F6">
        <v>18</v>
      </c>
      <c r="G6" t="s">
        <v>15</v>
      </c>
      <c r="I6" s="6" t="s">
        <v>21</v>
      </c>
      <c r="J6" s="7" t="str">
        <f>INDEX(B2:B6,MATCH(MAX(E2:E6),E2:E6,0))</f>
        <v>Mary</v>
      </c>
    </row>
    <row r="7" spans="1:10" x14ac:dyDescent="0.25">
      <c r="I7" s="6" t="s">
        <v>22</v>
      </c>
      <c r="J7" s="6">
        <f>MAX(E2:E6)</f>
        <v>125</v>
      </c>
    </row>
    <row r="8" spans="1:10" x14ac:dyDescent="0.25">
      <c r="I8" s="6" t="s">
        <v>23</v>
      </c>
      <c r="J8" s="7" t="str">
        <f>INDEX(B2:B6,MATCH(MIN(F2:F6),F2:F6,0))</f>
        <v>Kevin</v>
      </c>
    </row>
    <row r="9" spans="1:10" x14ac:dyDescent="0.25">
      <c r="I9" s="6" t="s">
        <v>24</v>
      </c>
      <c r="J9" s="6">
        <f>MIN(F2:F6)</f>
        <v>18</v>
      </c>
    </row>
    <row r="11" spans="1:10" x14ac:dyDescent="0.25">
      <c r="I11" s="9" t="s">
        <v>25</v>
      </c>
      <c r="J11" s="9" t="s">
        <v>26</v>
      </c>
    </row>
    <row r="12" spans="1:10" x14ac:dyDescent="0.25">
      <c r="I12" s="2" t="s">
        <v>14</v>
      </c>
      <c r="J12" s="2">
        <f>COUNTIF(G2:G6,I12)</f>
        <v>2</v>
      </c>
    </row>
    <row r="13" spans="1:10" x14ac:dyDescent="0.25">
      <c r="I13" s="2" t="s">
        <v>15</v>
      </c>
      <c r="J13" s="2">
        <f t="shared" ref="J13:J14" si="0">COUNTIF(G3:G7,I13)</f>
        <v>1</v>
      </c>
    </row>
    <row r="14" spans="1:10" x14ac:dyDescent="0.25">
      <c r="I14" s="2" t="s">
        <v>16</v>
      </c>
      <c r="J14" s="2">
        <f t="shared" si="0"/>
        <v>1</v>
      </c>
    </row>
    <row r="17" spans="7:7" x14ac:dyDescent="0.25">
      <c r="G17" s="8"/>
    </row>
    <row r="18" spans="7:7" x14ac:dyDescent="0.25">
      <c r="G18" s="8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8991067063</dc:creator>
  <cp:lastModifiedBy>8991067063</cp:lastModifiedBy>
  <dcterms:created xsi:type="dcterms:W3CDTF">2026-09-07T17:02:42Z</dcterms:created>
  <dcterms:modified xsi:type="dcterms:W3CDTF">2026-09-08T00:28:32Z</dcterms:modified>
</cp:coreProperties>
</file>